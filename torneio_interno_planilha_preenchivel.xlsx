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bb6a416c133d750/Documentos/Projects/Camp_Volei/"/>
    </mc:Choice>
  </mc:AlternateContent>
  <xr:revisionPtr revIDLastSave="218" documentId="8_{22D47F29-216A-474A-81B3-552C820083B4}" xr6:coauthVersionLast="47" xr6:coauthVersionMax="47" xr10:uidLastSave="{A81809DB-4CE9-43B4-A37D-FC3FFC16CC66}"/>
  <bookViews>
    <workbookView xWindow="-108" yWindow="-108" windowWidth="23256" windowHeight="12456" activeTab="1" xr2:uid="{00000000-000D-0000-FFFF-FFFF00000000}"/>
  </bookViews>
  <sheets>
    <sheet name="Tabela de Jogos" sheetId="1" r:id="rId1"/>
    <sheet name="Time" sheetId="3" r:id="rId2"/>
    <sheet name="Classificação" sheetId="2" r:id="rId3"/>
  </sheets>
  <definedNames>
    <definedName name="_xlnm._FilterDatabase" localSheetId="0" hidden="1">'Tabela de Jogos'!$A$3:$G$13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 a="1"/>
  <c r="B10" i="2"/>
  <c r="G16" i="1"/>
  <c r="C16" i="1"/>
  <c r="G15" i="1"/>
  <c r="C15" i="1"/>
  <c r="D2" i="1" a="1"/>
  <c r="D2" i="1" s="1"/>
  <c r="B2" i="2" a="1"/>
  <c r="B2" i="2"/>
  <c r="H2" i="2" l="1" a="1"/>
  <c r="H2" i="2" s="1"/>
  <c r="G2" i="2" a="1"/>
  <c r="G2" i="2" s="1"/>
  <c r="I2" i="2" s="1"/>
  <c r="E2" i="2" a="1"/>
  <c r="E2" i="2" s="1"/>
  <c r="D2" i="2" a="1"/>
  <c r="D2" i="2" s="1"/>
  <c r="C2" i="2"/>
  <c r="F2" i="2"/>
  <c r="H3" i="2" a="1"/>
  <c r="H3" i="2" s="1"/>
  <c r="H4" i="2" a="1"/>
  <c r="H4" i="2" s="1"/>
  <c r="H5" i="2" a="1"/>
  <c r="H5" i="2" s="1"/>
  <c r="H6" i="2" a="1"/>
  <c r="H6" i="2" s="1"/>
  <c r="G3" i="2" a="1"/>
  <c r="G3" i="2" s="1"/>
  <c r="I3" i="2" s="1"/>
  <c r="G4" i="2" a="1"/>
  <c r="G4" i="2" s="1"/>
  <c r="I4" i="2" s="1"/>
  <c r="G5" i="2" a="1"/>
  <c r="G5" i="2" s="1"/>
  <c r="I5" i="2" s="1"/>
  <c r="G6" i="2" a="1"/>
  <c r="G6" i="2" s="1"/>
  <c r="I6" i="2" s="1"/>
  <c r="E3" i="2" a="1"/>
  <c r="E3" i="2" s="1"/>
  <c r="E4" i="2" a="1"/>
  <c r="E4" i="2" s="1"/>
  <c r="E5" i="2" a="1"/>
  <c r="E5" i="2" s="1"/>
  <c r="E6" i="2" a="1"/>
  <c r="E6" i="2" s="1"/>
  <c r="D3" i="2" a="1"/>
  <c r="D3" i="2" s="1"/>
  <c r="D4" i="2" a="1"/>
  <c r="D4" i="2" s="1"/>
  <c r="D5" i="2" a="1"/>
  <c r="D5" i="2" s="1"/>
  <c r="D6" i="2" a="1"/>
  <c r="D6" i="2" s="1"/>
  <c r="C4" i="2"/>
  <c r="C5" i="2"/>
  <c r="C6" i="2"/>
  <c r="C3" i="2"/>
  <c r="F3" i="2"/>
  <c r="F4" i="2"/>
  <c r="F5" i="2"/>
  <c r="F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<sst xmlns="http://schemas.openxmlformats.org/spreadsheetml/2006/main" count="139" uniqueCount="69">
  <si>
    <t>Torneio Interno – Planilha de Jogos</t>
  </si>
  <si>
    <t>Data</t>
  </si>
  <si>
    <t>HOR</t>
  </si>
  <si>
    <t>Time A</t>
  </si>
  <si>
    <t>Placar A</t>
  </si>
  <si>
    <t>x</t>
  </si>
  <si>
    <t>Placar B</t>
  </si>
  <si>
    <t>Time B</t>
  </si>
  <si>
    <t>20h30</t>
  </si>
  <si>
    <t>Zebra</t>
  </si>
  <si>
    <t>Dálmata</t>
  </si>
  <si>
    <t>21h30</t>
  </si>
  <si>
    <t>Girafa</t>
  </si>
  <si>
    <t>Onça</t>
  </si>
  <si>
    <t>Tigre</t>
  </si>
  <si>
    <t>SEMIFINAIS</t>
  </si>
  <si>
    <t>DISPUTA 3º LUGAR</t>
  </si>
  <si>
    <t>Perdedor Semi 1</t>
  </si>
  <si>
    <t>Perdedor Semi 2</t>
  </si>
  <si>
    <t>FINAL</t>
  </si>
  <si>
    <t>Vencedor Semi 1</t>
  </si>
  <si>
    <t>Vencedor Semi 2</t>
  </si>
  <si>
    <t>Pos.</t>
  </si>
  <si>
    <t>Time</t>
  </si>
  <si>
    <t>Jogos</t>
  </si>
  <si>
    <t>Vitória</t>
  </si>
  <si>
    <t>Derrota</t>
  </si>
  <si>
    <t>Pontos</t>
  </si>
  <si>
    <t>Sets Pró</t>
  </si>
  <si>
    <t>Sets Contra</t>
  </si>
  <si>
    <t>Saldo</t>
  </si>
  <si>
    <t>Grazi</t>
  </si>
  <si>
    <t>Stella</t>
  </si>
  <si>
    <t>Julia</t>
  </si>
  <si>
    <t>Neidoka</t>
  </si>
  <si>
    <t>Bianca</t>
  </si>
  <si>
    <t>Vanessa</t>
  </si>
  <si>
    <t>Carol</t>
  </si>
  <si>
    <t>Eliane</t>
  </si>
  <si>
    <t>Milena</t>
  </si>
  <si>
    <t>Camila M.</t>
  </si>
  <si>
    <t>Erica</t>
  </si>
  <si>
    <t>Ednéia</t>
  </si>
  <si>
    <t>Valeria</t>
  </si>
  <si>
    <t>Tania</t>
  </si>
  <si>
    <t>Debora</t>
  </si>
  <si>
    <t>Katia</t>
  </si>
  <si>
    <t>Janaina</t>
  </si>
  <si>
    <t>Fernanda</t>
  </si>
  <si>
    <t>Zuleide</t>
  </si>
  <si>
    <t>Marina</t>
  </si>
  <si>
    <t>Fabiana</t>
  </si>
  <si>
    <t>Sirlene</t>
  </si>
  <si>
    <t>Fabiana S.</t>
  </si>
  <si>
    <t>Michele</t>
  </si>
  <si>
    <t>Juliana</t>
  </si>
  <si>
    <t>Ieda</t>
  </si>
  <si>
    <t>Gracielle</t>
  </si>
  <si>
    <t>Irene</t>
  </si>
  <si>
    <t>Gizele</t>
  </si>
  <si>
    <t>Carolina</t>
  </si>
  <si>
    <t>Helena</t>
  </si>
  <si>
    <t>Claudia</t>
  </si>
  <si>
    <t>Cristiane</t>
  </si>
  <si>
    <t>Gazielle</t>
  </si>
  <si>
    <t>Luciane</t>
  </si>
  <si>
    <t>T / R</t>
  </si>
  <si>
    <t>T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</si>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</sst>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9" x14ac:knownFonts="1">
    <font>
      <sz val="11"/>
      <color theme="1"/>
      <name val="Calibri"/>
      <family val="2"/>
      <scheme val="minor"/>
    </font>
    <font>
      <b/>
      <sz val="20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b/>
      <sz val="13"/>
      <color rgb="FFFFFFFF"/>
      <name val="Calibri"/>
    </font>
    <font>
      <sz val="11"/>
      <name val="Calibri"/>
    </font>
    <font>
      <b/>
      <sz val="12"/>
      <name val="Calibri"/>
    </font>
    <font>
      <b/>
      <sz val="11"/>
      <color rgb="FFFFFFFF"/>
      <name val="Calibri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A90D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1" xfId="0" applyBorder="1"/>
    <xf numFmtId="0" fontId="8" fillId="0" borderId="0" xfId="0" applyFont="1"/>
    <xf numFmtId="164" fontId="0" fillId="0" borderId="0" xfId="0" applyNumberFormat="1"/>
    <xf numFmtId="164" fontId="2" fillId="2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"/>
  <sheetViews>
    <sheetView workbookViewId="0">
      <pane ySplit="3" topLeftCell="A12" activePane="bottomLeft" state="frozen"/>
      <selection activeCell="B1" sqref="B1"/>
      <selection pane="bottomLeft" activeCell="A21" sqref="A21"/>
    </sheetView>
  </sheetViews>
  <sheetFormatPr defaultRowHeight="14.4" x14ac:dyDescent="0.3"/>
  <cols>
    <col min="1" max="1" width="33.33203125" style="9" bestFit="1" customWidth="1"/>
    <col min="2" max="2" width="12" customWidth="1"/>
    <col min="3" max="3" width="23" customWidth="1"/>
    <col min="4" max="4" width="12" customWidth="1"/>
    <col min="5" max="5" width="8" customWidth="1"/>
    <col min="6" max="6" width="12" customWidth="1"/>
    <col min="7" max="7" width="23" customWidth="1"/>
  </cols>
  <sheetData>
    <row r="1" spans="1:7" ht="32.1" customHeight="1" x14ac:dyDescent="0.3">
      <c r="A1" s="15" t="s">
        <v>0</v>
      </c>
      <c r="B1" s="16"/>
      <c r="C1" s="16"/>
      <c r="D1" s="16"/>
      <c r="E1" s="16"/>
      <c r="F1" s="16"/>
      <c r="G1" s="16"/>
    </row>
    <row r="2" spans="1:7" x14ac:dyDescent="0.3">
      <c r="D2" t="e" cm="1">
        <f t="array" ref="D2">SUMPRODUCT(('Tabela de Jogos'!$C$4:$C$13=B2)*('Tabela de Jogos'!$D$4:$D$13&gt;'Tabela de Jogos'!$F$4:$F$13))+SUMPRODUCT('Tabela de Jogos'!$G$4:$G$13='Tabela de Jogos'!A4B2)</f>
        <v>#NAME?</v>
      </c>
    </row>
    <row r="3" spans="1:7" ht="27.9" customHeight="1" x14ac:dyDescent="0.3">
      <c r="A3" s="10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ht="27.9" customHeight="1" x14ac:dyDescent="0.3">
      <c r="A4" s="11">
        <v>46248</v>
      </c>
      <c r="B4" s="2" t="s">
        <v>8</v>
      </c>
      <c r="C4" s="2" t="s">
        <v>9</v>
      </c>
      <c r="D4" s="3">
        <v>0</v>
      </c>
      <c r="E4" s="2" t="s">
        <v>5</v>
      </c>
      <c r="F4" s="3">
        <v>3</v>
      </c>
      <c r="G4" s="2" t="s">
        <v>10</v>
      </c>
    </row>
    <row r="5" spans="1:7" ht="27.9" customHeight="1" x14ac:dyDescent="0.3">
      <c r="A5" s="11">
        <v>46248</v>
      </c>
      <c r="B5" s="2" t="s">
        <v>11</v>
      </c>
      <c r="C5" s="2" t="s">
        <v>12</v>
      </c>
      <c r="D5" s="3">
        <v>1</v>
      </c>
      <c r="E5" s="2" t="s">
        <v>5</v>
      </c>
      <c r="F5" s="3">
        <v>2</v>
      </c>
      <c r="G5" s="2" t="s">
        <v>13</v>
      </c>
    </row>
    <row r="6" spans="1:7" ht="27.9" customHeight="1" x14ac:dyDescent="0.3">
      <c r="A6" s="11">
        <v>46255</v>
      </c>
      <c r="B6" s="2" t="s">
        <v>8</v>
      </c>
      <c r="C6" s="2" t="s">
        <v>9</v>
      </c>
      <c r="D6" s="3">
        <v>1</v>
      </c>
      <c r="E6" s="2" t="s">
        <v>5</v>
      </c>
      <c r="F6" s="3">
        <v>2</v>
      </c>
      <c r="G6" s="2" t="s">
        <v>14</v>
      </c>
    </row>
    <row r="7" spans="1:7" ht="27.9" customHeight="1" x14ac:dyDescent="0.3">
      <c r="A7" s="11">
        <v>46255</v>
      </c>
      <c r="B7" s="2" t="s">
        <v>11</v>
      </c>
      <c r="C7" s="2" t="s">
        <v>10</v>
      </c>
      <c r="D7" s="3">
        <v>1</v>
      </c>
      <c r="E7" s="2" t="s">
        <v>5</v>
      </c>
      <c r="F7" s="3">
        <v>2</v>
      </c>
      <c r="G7" s="2" t="s">
        <v>12</v>
      </c>
    </row>
    <row r="8" spans="1:7" ht="27.9" customHeight="1" x14ac:dyDescent="0.3">
      <c r="A8" s="11">
        <v>46262</v>
      </c>
      <c r="B8" s="2" t="s">
        <v>8</v>
      </c>
      <c r="C8" s="2" t="s">
        <v>13</v>
      </c>
      <c r="D8" s="3">
        <v>0</v>
      </c>
      <c r="E8" s="2" t="s">
        <v>5</v>
      </c>
      <c r="F8" s="3">
        <v>3</v>
      </c>
      <c r="G8" s="2" t="s">
        <v>14</v>
      </c>
    </row>
    <row r="9" spans="1:7" ht="27.9" customHeight="1" x14ac:dyDescent="0.3">
      <c r="A9" s="11">
        <v>46262</v>
      </c>
      <c r="B9" s="2" t="s">
        <v>11</v>
      </c>
      <c r="C9" s="2" t="s">
        <v>9</v>
      </c>
      <c r="D9" s="3">
        <v>0</v>
      </c>
      <c r="E9" s="2" t="s">
        <v>5</v>
      </c>
      <c r="F9" s="3">
        <v>3</v>
      </c>
      <c r="G9" s="2" t="s">
        <v>12</v>
      </c>
    </row>
    <row r="10" spans="1:7" ht="27.9" customHeight="1" x14ac:dyDescent="0.3">
      <c r="A10" s="11">
        <v>46276</v>
      </c>
      <c r="B10" s="2" t="s">
        <v>8</v>
      </c>
      <c r="C10" s="2" t="s">
        <v>13</v>
      </c>
      <c r="D10" s="3"/>
      <c r="E10" s="2" t="s">
        <v>5</v>
      </c>
      <c r="F10" s="3"/>
      <c r="G10" s="2" t="s">
        <v>10</v>
      </c>
    </row>
    <row r="11" spans="1:7" ht="27.9" customHeight="1" x14ac:dyDescent="0.3">
      <c r="A11" s="11">
        <v>46276</v>
      </c>
      <c r="B11" s="2" t="s">
        <v>11</v>
      </c>
      <c r="C11" s="2" t="s">
        <v>12</v>
      </c>
      <c r="D11" s="3"/>
      <c r="E11" s="2" t="s">
        <v>5</v>
      </c>
      <c r="F11" s="3"/>
      <c r="G11" s="2" t="s">
        <v>14</v>
      </c>
    </row>
    <row r="12" spans="1:7" ht="27.9" customHeight="1" x14ac:dyDescent="0.3">
      <c r="A12" s="11">
        <v>46283</v>
      </c>
      <c r="B12" s="2" t="s">
        <v>8</v>
      </c>
      <c r="C12" s="2" t="s">
        <v>13</v>
      </c>
      <c r="D12" s="3"/>
      <c r="E12" s="2" t="s">
        <v>5</v>
      </c>
      <c r="F12" s="3"/>
      <c r="G12" s="2" t="s">
        <v>9</v>
      </c>
    </row>
    <row r="13" spans="1:7" ht="27.9" customHeight="1" x14ac:dyDescent="0.3">
      <c r="A13" s="11">
        <v>46283</v>
      </c>
      <c r="B13" s="2" t="s">
        <v>11</v>
      </c>
      <c r="C13" s="2" t="s">
        <v>10</v>
      </c>
      <c r="D13" s="3"/>
      <c r="E13" s="2" t="s">
        <v>5</v>
      </c>
      <c r="F13" s="3"/>
      <c r="G13" s="2" t="s">
        <v>14</v>
      </c>
    </row>
    <row r="14" spans="1:7" ht="27.9" customHeight="1" x14ac:dyDescent="0.3">
      <c r="A14" s="14" t="s">
        <v>15</v>
      </c>
      <c r="B14" s="13"/>
      <c r="C14" s="13"/>
      <c r="D14" s="13"/>
      <c r="E14" s="13"/>
      <c r="F14" s="13"/>
      <c r="G14" s="13"/>
    </row>
    <row r="15" spans="1:7" ht="27.9" customHeight="1" x14ac:dyDescent="0.3">
      <c r="A15" s="11">
        <v>46290</v>
      </c>
      <c r="B15" s="2" t="s">
        <v>8</v>
      </c>
      <c r="C15" s="2" t="str">
        <f>Classificação!B10</f>
        <v>Girafa</v>
      </c>
      <c r="D15" s="3"/>
      <c r="E15" s="2" t="s">
        <v>5</v>
      </c>
      <c r="F15" s="3"/>
      <c r="G15" s="2" t="str">
        <f>Classificação!B13</f>
        <v>Onça</v>
      </c>
    </row>
    <row r="16" spans="1:7" ht="27.9" customHeight="1" x14ac:dyDescent="0.3">
      <c r="A16" s="11">
        <v>46290</v>
      </c>
      <c r="B16" s="2" t="s">
        <v>11</v>
      </c>
      <c r="C16" s="2" t="str">
        <f>Classificação!B11</f>
        <v>Tigre</v>
      </c>
      <c r="D16" s="3"/>
      <c r="E16" s="2" t="s">
        <v>5</v>
      </c>
      <c r="F16" s="3"/>
      <c r="G16" s="2" t="str">
        <f>Classificação!B12</f>
        <v>Dálmata</v>
      </c>
    </row>
    <row r="17" spans="1:7" ht="27.9" customHeight="1" x14ac:dyDescent="0.3">
      <c r="A17" s="12" t="s">
        <v>16</v>
      </c>
      <c r="B17" s="13"/>
      <c r="C17" s="13"/>
      <c r="D17" s="13"/>
      <c r="E17" s="13"/>
      <c r="F17" s="13"/>
      <c r="G17" s="13"/>
    </row>
    <row r="18" spans="1:7" ht="27.9" customHeight="1" x14ac:dyDescent="0.3">
      <c r="A18" s="11">
        <v>46297</v>
      </c>
      <c r="B18" s="2" t="s">
        <v>8</v>
      </c>
      <c r="C18" s="2" t="s">
        <v>17</v>
      </c>
      <c r="D18" s="3"/>
      <c r="E18" s="2" t="s">
        <v>5</v>
      </c>
      <c r="F18" s="3"/>
      <c r="G18" s="2" t="s">
        <v>18</v>
      </c>
    </row>
    <row r="19" spans="1:7" ht="27.9" customHeight="1" x14ac:dyDescent="0.3">
      <c r="A19" s="11"/>
      <c r="B19" s="2"/>
      <c r="C19" s="2"/>
      <c r="D19" s="2"/>
      <c r="E19" s="2"/>
      <c r="F19" s="2"/>
      <c r="G19" s="2"/>
    </row>
    <row r="20" spans="1:7" ht="27.9" customHeight="1" x14ac:dyDescent="0.3">
      <c r="A20" s="12" t="s">
        <v>19</v>
      </c>
      <c r="B20" s="13"/>
      <c r="C20" s="13"/>
      <c r="D20" s="13"/>
      <c r="E20" s="13"/>
      <c r="F20" s="13"/>
      <c r="G20" s="13"/>
    </row>
    <row r="21" spans="1:7" ht="27.9" customHeight="1" x14ac:dyDescent="0.3">
      <c r="A21" s="11">
        <v>46297</v>
      </c>
      <c r="B21" s="2" t="s">
        <v>11</v>
      </c>
      <c r="C21" s="2" t="s">
        <v>20</v>
      </c>
      <c r="D21" s="3"/>
      <c r="E21" s="2" t="s">
        <v>5</v>
      </c>
      <c r="F21" s="3"/>
      <c r="G21" s="2" t="s">
        <v>21</v>
      </c>
    </row>
    <row r="30" spans="1:7" x14ac:dyDescent="0.3">
      <c r="D30" s="6"/>
    </row>
    <row r="31" spans="1:7" x14ac:dyDescent="0.3">
      <c r="D31" s="6"/>
    </row>
    <row r="32" spans="1:7" x14ac:dyDescent="0.3">
      <c r="D32" s="6"/>
    </row>
    <row r="33" spans="4:4" x14ac:dyDescent="0.3">
      <c r="D33" s="6"/>
    </row>
    <row r="34" spans="4:4" x14ac:dyDescent="0.3">
      <c r="D34" s="6"/>
    </row>
  </sheetData>
  <autoFilter ref="A3:G13" xr:uid="{00000000-0009-0000-0000-000000000000}"/>
  <mergeCells count="4">
    <mergeCell ref="A20:G20"/>
    <mergeCell ref="A14:G14"/>
    <mergeCell ref="A1:G1"/>
    <mergeCell ref="A17:G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6AF8F-2E55-445B-B4FF-29554B5B33C8}">
  <dimension ref="A1:F11"/>
  <sheetViews>
    <sheetView tabSelected="1" workbookViewId="0">
      <selection activeCell="A12" sqref="A12"/>
    </sheetView>
  </sheetViews>
  <sheetFormatPr defaultRowHeight="14.4" x14ac:dyDescent="0.3"/>
  <sheetData>
    <row r="1" spans="1:6" x14ac:dyDescent="0.3">
      <c r="A1" t="s">
        <v>66</v>
      </c>
      <c r="B1" t="s">
        <v>10</v>
      </c>
      <c r="C1" t="s">
        <v>9</v>
      </c>
      <c r="D1" t="s">
        <v>12</v>
      </c>
      <c r="E1" t="s">
        <v>14</v>
      </c>
      <c r="F1" t="s">
        <v>13</v>
      </c>
    </row>
    <row r="2" spans="1:6" x14ac:dyDescent="0.3">
      <c r="A2" t="s">
        <v>67</v>
      </c>
      <c r="B2" t="s">
        <v>31</v>
      </c>
      <c r="C2" t="s">
        <v>41</v>
      </c>
      <c r="D2" t="s">
        <v>50</v>
      </c>
      <c r="E2" t="s">
        <v>57</v>
      </c>
      <c r="F2" t="s">
        <v>61</v>
      </c>
    </row>
    <row r="3" spans="1:6" x14ac:dyDescent="0.3">
      <c r="A3" t="s">
        <v>67</v>
      </c>
      <c r="B3" t="s">
        <v>32</v>
      </c>
      <c r="C3" t="s">
        <v>42</v>
      </c>
      <c r="D3" t="s">
        <v>51</v>
      </c>
      <c r="E3" t="s">
        <v>58</v>
      </c>
      <c r="F3" t="s">
        <v>45</v>
      </c>
    </row>
    <row r="4" spans="1:6" x14ac:dyDescent="0.3">
      <c r="A4" t="s">
        <v>67</v>
      </c>
      <c r="B4" t="s">
        <v>33</v>
      </c>
      <c r="C4" t="s">
        <v>43</v>
      </c>
      <c r="D4" t="s">
        <v>52</v>
      </c>
      <c r="E4" t="s">
        <v>45</v>
      </c>
      <c r="F4" t="s">
        <v>62</v>
      </c>
    </row>
    <row r="5" spans="1:6" x14ac:dyDescent="0.3">
      <c r="A5" t="s">
        <v>67</v>
      </c>
      <c r="B5" t="s">
        <v>34</v>
      </c>
      <c r="C5" t="s">
        <v>44</v>
      </c>
      <c r="D5" t="s">
        <v>53</v>
      </c>
      <c r="E5" t="s">
        <v>48</v>
      </c>
      <c r="F5" t="s">
        <v>63</v>
      </c>
    </row>
    <row r="6" spans="1:6" x14ac:dyDescent="0.3">
      <c r="A6" t="s">
        <v>67</v>
      </c>
      <c r="B6" t="s">
        <v>35</v>
      </c>
      <c r="C6" t="s">
        <v>45</v>
      </c>
      <c r="D6" t="s">
        <v>54</v>
      </c>
      <c r="E6" t="s">
        <v>50</v>
      </c>
      <c r="F6" t="s">
        <v>48</v>
      </c>
    </row>
    <row r="7" spans="1:6" x14ac:dyDescent="0.3">
      <c r="A7" t="s">
        <v>67</v>
      </c>
      <c r="B7" t="s">
        <v>36</v>
      </c>
      <c r="C7" t="s">
        <v>46</v>
      </c>
      <c r="D7" t="s">
        <v>55</v>
      </c>
      <c r="E7" t="s">
        <v>59</v>
      </c>
      <c r="F7" t="s">
        <v>64</v>
      </c>
    </row>
    <row r="8" spans="1:6" x14ac:dyDescent="0.3">
      <c r="A8" t="s">
        <v>68</v>
      </c>
      <c r="B8" t="s">
        <v>37</v>
      </c>
      <c r="C8" t="s">
        <v>49</v>
      </c>
      <c r="D8" t="s">
        <v>56</v>
      </c>
      <c r="E8" t="s">
        <v>60</v>
      </c>
      <c r="F8" t="s">
        <v>54</v>
      </c>
    </row>
    <row r="9" spans="1:6" x14ac:dyDescent="0.3">
      <c r="A9" t="s">
        <v>68</v>
      </c>
      <c r="B9" t="s">
        <v>38</v>
      </c>
      <c r="C9" t="s">
        <v>48</v>
      </c>
      <c r="F9" t="s">
        <v>65</v>
      </c>
    </row>
    <row r="10" spans="1:6" x14ac:dyDescent="0.3">
      <c r="A10" t="s">
        <v>68</v>
      </c>
      <c r="B10" t="s">
        <v>39</v>
      </c>
      <c r="C10" t="s">
        <v>47</v>
      </c>
      <c r="F10" t="s">
        <v>36</v>
      </c>
    </row>
    <row r="11" spans="1:6" x14ac:dyDescent="0.3">
      <c r="A11" t="s">
        <v>68</v>
      </c>
      <c r="B11" t="s">
        <v>40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4"/>
  <sheetViews>
    <sheetView workbookViewId="0">
      <pane ySplit="1" topLeftCell="A2" activePane="bottomLeft" state="frozen"/>
      <selection pane="bottomLeft" activeCell="B6" sqref="B2:B6"/>
    </sheetView>
  </sheetViews>
  <sheetFormatPr defaultRowHeight="14.4" x14ac:dyDescent="0.3"/>
  <cols>
    <col min="1" max="1" width="8" customWidth="1"/>
    <col min="2" max="2" width="18" customWidth="1"/>
    <col min="3" max="3" width="6" bestFit="1" customWidth="1"/>
    <col min="4" max="4" width="7.109375" bestFit="1" customWidth="1"/>
    <col min="5" max="5" width="8" customWidth="1"/>
    <col min="6" max="7" width="12" customWidth="1"/>
    <col min="8" max="8" width="14" customWidth="1"/>
    <col min="9" max="9" width="10" customWidth="1"/>
  </cols>
  <sheetData>
    <row r="1" spans="1:13" x14ac:dyDescent="0.3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</row>
    <row r="2" spans="1:13" x14ac:dyDescent="0.3">
      <c r="A2" s="5">
        <v>1</v>
      </c>
      <c r="B2" s="5" t="str" cm="1">
        <f t="array" ref="B2:B6">_xlfn.UNIQUE('Tabela de Jogos'!G4:G13)</f>
        <v>Dálmata</v>
      </c>
      <c r="C2" s="5">
        <f>COUNTIFS('Tabela de Jogos'!$C$4:$C$13,B2,'Tabela de Jogos'!$D$4:$D$13,"&lt;&gt;") + COUNTIFS('Tabela de Jogos'!$G$5:$G$14,B2,'Tabela de Jogos'!$F$4:$F$13,"&lt;&gt;")</f>
        <v>2</v>
      </c>
      <c r="D2" s="5" cm="1">
        <f t="array" ref="D2">SUMPRODUCT(('Tabela de Jogos'!$C$4:$C$13=B2)*('Tabela de Jogos'!$D$4:$D$13&gt;'Tabela de Jogos'!$F$4:$F$13))+SUMPRODUCT(('Tabela de Jogos'!$G$4:$G$13=B2)*('Tabela de Jogos'!$F$4:$F$13&gt;'Tabela de Jogos'!$D$4:$D$13))</f>
        <v>1</v>
      </c>
      <c r="E2" s="5" cm="1">
        <f t="array" ref="E2">SUMPRODUCT(('Tabela de Jogos'!$C$4:$C$13=B2)*('Tabela de Jogos'!$D$4:$D$13&lt;'Tabela de Jogos'!$F$4:$F$13))+SUMPRODUCT(('Tabela de Jogos'!$G$4:$G$13=B2)*('Tabela de Jogos'!$F$4:$F$13&lt;'Tabela de Jogos'!$D$4:$D$13))</f>
        <v>1</v>
      </c>
      <c r="F2" s="5">
        <f>SUMIF('Tabela de Jogos'!$C$4:$C$13,B2,'Tabela de Jogos'!$D$4:$D$13) + SUMIF('Tabela de Jogos'!$G$4:$G$13,B2,'Tabela de Jogos'!$F$4:$F$13)</f>
        <v>4</v>
      </c>
      <c r="G2" s="5" cm="1">
        <f t="array" ref="G2">SUMPRODUCT(('Tabela de Jogos'!$C$4:$C$13=B2)*('Tabela de Jogos'!$D$4:$D$13&lt;&gt;"")*'Tabela de Jogos'!$D$4:$D$13)+SUMPRODUCT(('Tabela de Jogos'!$G$4:$G$13=B2)*('Tabela de Jogos'!$F$4:$F$13&lt;&gt;"")*'Tabela de Jogos'!$F$4:$F$13)</f>
        <v>4</v>
      </c>
      <c r="H2" s="5" cm="1">
        <f t="array" ref="H2">SUMPRODUCT(('Tabela de Jogos'!$C$4:$C$13=B2)*('Tabela de Jogos'!$D$4:$D$13&lt;&gt;"")*'Tabela de Jogos'!$F$4:$F$13)+SUMPRODUCT(('Tabela de Jogos'!$G$4:$G$13=B2)*('Tabela de Jogos'!$F$4:$F$13&lt;&gt;"")*'Tabela de Jogos'!$D$4:$D$13)</f>
        <v>2</v>
      </c>
      <c r="I2" s="5">
        <f>G2-H2</f>
        <v>2</v>
      </c>
    </row>
    <row r="3" spans="1:13" x14ac:dyDescent="0.3">
      <c r="A3" s="5">
        <v>2</v>
      </c>
      <c r="B3" s="5" t="str">
        <v>Onça</v>
      </c>
      <c r="C3" s="5">
        <f>COUNTIFS('Tabela de Jogos'!$C$4:$C$13,B3,'Tabela de Jogos'!$D$4:$D$13,"&lt;&gt;") + COUNTIFS('Tabela de Jogos'!$G$5:$G$14,B3,'Tabela de Jogos'!$F$4:$F$13,"&lt;&gt;")</f>
        <v>2</v>
      </c>
      <c r="D3" s="5" cm="1">
        <f t="array" ref="D3">SUMPRODUCT(('Tabela de Jogos'!$C$4:$C$13=B3)*('Tabela de Jogos'!$D$4:$D$13&gt;'Tabela de Jogos'!$F$4:$F$13))+SUMPRODUCT(('Tabela de Jogos'!$G$4:$G$13=B3)*('Tabela de Jogos'!$F$4:$F$13&gt;'Tabela de Jogos'!$D$4:$D$13))</f>
        <v>1</v>
      </c>
      <c r="E3" s="5" cm="1">
        <f t="array" ref="E3">SUMPRODUCT(('Tabela de Jogos'!$C$4:$C$13=B3)*('Tabela de Jogos'!$D$4:$D$13&lt;'Tabela de Jogos'!$F$4:$F$13))+SUMPRODUCT(('Tabela de Jogos'!$G$4:$G$13=B3)*('Tabela de Jogos'!$F$4:$F$13&lt;'Tabela de Jogos'!$D$4:$D$13))</f>
        <v>1</v>
      </c>
      <c r="F3" s="5">
        <f>SUMIF('Tabela de Jogos'!$C$4:$C$13,B3,'Tabela de Jogos'!$D$4:$D$13) + SUMIF('Tabela de Jogos'!$G$4:$G$13,B3,'Tabela de Jogos'!$F$4:$F$13)</f>
        <v>2</v>
      </c>
      <c r="G3" s="5" cm="1">
        <f t="array" ref="G3">SUMPRODUCT(('Tabela de Jogos'!$C$4:$C$13=B3)*('Tabela de Jogos'!$D$4:$D$13&lt;&gt;"")*'Tabela de Jogos'!$D$4:$D$13)+SUMPRODUCT(('Tabela de Jogos'!$G$4:$G$13=B3)*('Tabela de Jogos'!$F$4:$F$13&lt;&gt;"")*'Tabela de Jogos'!$F$4:$F$13)</f>
        <v>2</v>
      </c>
      <c r="H3" s="5" cm="1">
        <f t="array" ref="H3">SUMPRODUCT(('Tabela de Jogos'!$C$4:$C$13=B3)*('Tabela de Jogos'!$D$4:$D$13&lt;&gt;"")*'Tabela de Jogos'!$F$4:$F$13)+SUMPRODUCT(('Tabela de Jogos'!$G$4:$G$13=B3)*('Tabela de Jogos'!$F$4:$F$13&lt;&gt;"")*'Tabela de Jogos'!$D$4:$D$13)</f>
        <v>4</v>
      </c>
      <c r="I3" s="5">
        <f t="shared" ref="I3:I6" si="0">G3-H3</f>
        <v>-2</v>
      </c>
    </row>
    <row r="4" spans="1:13" x14ac:dyDescent="0.3">
      <c r="A4" s="5">
        <v>3</v>
      </c>
      <c r="B4" s="5" t="str">
        <v>Tigre</v>
      </c>
      <c r="C4" s="5">
        <f>COUNTIFS('Tabela de Jogos'!$C$4:$C$13,B4,'Tabela de Jogos'!$D$4:$D$13,"&lt;&gt;") + COUNTIFS('Tabela de Jogos'!$G$5:$G$14,B4,'Tabela de Jogos'!$F$4:$F$13,"&lt;&gt;")</f>
        <v>2</v>
      </c>
      <c r="D4" s="5" cm="1">
        <f t="array" ref="D4">SUMPRODUCT(('Tabela de Jogos'!$C$4:$C$13=B4)*('Tabela de Jogos'!$D$4:$D$13&gt;'Tabela de Jogos'!$F$4:$F$13))+SUMPRODUCT(('Tabela de Jogos'!$G$4:$G$13=B4)*('Tabela de Jogos'!$F$4:$F$13&gt;'Tabela de Jogos'!$D$4:$D$13))</f>
        <v>2</v>
      </c>
      <c r="E4" s="5" cm="1">
        <f t="array" ref="E4">SUMPRODUCT(('Tabela de Jogos'!$C$4:$C$13=B4)*('Tabela de Jogos'!$D$4:$D$13&lt;'Tabela de Jogos'!$F$4:$F$13))+SUMPRODUCT(('Tabela de Jogos'!$G$4:$G$13=B4)*('Tabela de Jogos'!$F$4:$F$13&lt;'Tabela de Jogos'!$D$4:$D$13))</f>
        <v>0</v>
      </c>
      <c r="F4" s="5">
        <f>SUMIF('Tabela de Jogos'!$C$4:$C$13,B4,'Tabela de Jogos'!$D$4:$D$13) + SUMIF('Tabela de Jogos'!$G$4:$G$13,B4,'Tabela de Jogos'!$F$4:$F$13)</f>
        <v>5</v>
      </c>
      <c r="G4" s="5" cm="1">
        <f t="array" ref="G4">SUMPRODUCT(('Tabela de Jogos'!$C$4:$C$13=B4)*('Tabela de Jogos'!$D$4:$D$13&lt;&gt;"")*'Tabela de Jogos'!$D$4:$D$13)+SUMPRODUCT(('Tabela de Jogos'!$G$4:$G$13=B4)*('Tabela de Jogos'!$F$4:$F$13&lt;&gt;"")*'Tabela de Jogos'!$F$4:$F$13)</f>
        <v>5</v>
      </c>
      <c r="H4" s="5" cm="1">
        <f t="array" ref="H4">SUMPRODUCT(('Tabela de Jogos'!$C$4:$C$13=B4)*('Tabela de Jogos'!$D$4:$D$13&lt;&gt;"")*'Tabela de Jogos'!$F$4:$F$13)+SUMPRODUCT(('Tabela de Jogos'!$G$4:$G$13=B4)*('Tabela de Jogos'!$F$4:$F$13&lt;&gt;"")*'Tabela de Jogos'!$D$4:$D$13)</f>
        <v>1</v>
      </c>
      <c r="I4" s="5">
        <f t="shared" si="0"/>
        <v>4</v>
      </c>
    </row>
    <row r="5" spans="1:13" x14ac:dyDescent="0.3">
      <c r="A5" s="5">
        <v>4</v>
      </c>
      <c r="B5" s="5" t="str">
        <v>Girafa</v>
      </c>
      <c r="C5" s="5">
        <f>COUNTIFS('Tabela de Jogos'!$C$4:$C$13,B5,'Tabela de Jogos'!$D$4:$D$13,"&lt;&gt;") + COUNTIFS('Tabela de Jogos'!$G$5:$G$14,B5,'Tabela de Jogos'!$F$4:$F$13,"&lt;&gt;")</f>
        <v>3</v>
      </c>
      <c r="D5" s="5" cm="1">
        <f t="array" ref="D5">SUMPRODUCT(('Tabela de Jogos'!$C$4:$C$13=B5)*('Tabela de Jogos'!$D$4:$D$13&gt;'Tabela de Jogos'!$F$4:$F$13))+SUMPRODUCT(('Tabela de Jogos'!$G$4:$G$13=B5)*('Tabela de Jogos'!$F$4:$F$13&gt;'Tabela de Jogos'!$D$4:$D$13))</f>
        <v>2</v>
      </c>
      <c r="E5" s="5" cm="1">
        <f t="array" ref="E5">SUMPRODUCT(('Tabela de Jogos'!$C$4:$C$13=B5)*('Tabela de Jogos'!$D$4:$D$13&lt;'Tabela de Jogos'!$F$4:$F$13))+SUMPRODUCT(('Tabela de Jogos'!$G$4:$G$13=B5)*('Tabela de Jogos'!$F$4:$F$13&lt;'Tabela de Jogos'!$D$4:$D$13))</f>
        <v>1</v>
      </c>
      <c r="F5" s="5">
        <f>SUMIF('Tabela de Jogos'!$C$4:$C$13,B5,'Tabela de Jogos'!$D$4:$D$13) + SUMIF('Tabela de Jogos'!$G$4:$G$13,B5,'Tabela de Jogos'!$F$4:$F$13)</f>
        <v>6</v>
      </c>
      <c r="G5" s="5" cm="1">
        <f t="array" ref="G5">SUMPRODUCT(('Tabela de Jogos'!$C$4:$C$13=B5)*('Tabela de Jogos'!$D$4:$D$13&lt;&gt;"")*'Tabela de Jogos'!$D$4:$D$13)+SUMPRODUCT(('Tabela de Jogos'!$G$4:$G$13=B5)*('Tabela de Jogos'!$F$4:$F$13&lt;&gt;"")*'Tabela de Jogos'!$F$4:$F$13)</f>
        <v>6</v>
      </c>
      <c r="H5" s="5" cm="1">
        <f t="array" ref="H5">SUMPRODUCT(('Tabela de Jogos'!$C$4:$C$13=B5)*('Tabela de Jogos'!$D$4:$D$13&lt;&gt;"")*'Tabela de Jogos'!$F$4:$F$13)+SUMPRODUCT(('Tabela de Jogos'!$G$4:$G$13=B5)*('Tabela de Jogos'!$F$4:$F$13&lt;&gt;"")*'Tabela de Jogos'!$D$4:$D$13)</f>
        <v>3</v>
      </c>
      <c r="I5" s="5">
        <f t="shared" si="0"/>
        <v>3</v>
      </c>
    </row>
    <row r="6" spans="1:13" x14ac:dyDescent="0.3">
      <c r="A6" s="5">
        <v>5</v>
      </c>
      <c r="B6" s="5" t="str">
        <v>Zebra</v>
      </c>
      <c r="C6" s="5">
        <f>COUNTIFS('Tabela de Jogos'!$C$4:$C$13,B6,'Tabela de Jogos'!$D$4:$D$13,"&lt;&gt;") + COUNTIFS('Tabela de Jogos'!$G$5:$G$14,B6,'Tabela de Jogos'!$F$4:$F$13,"&lt;&gt;")</f>
        <v>3</v>
      </c>
      <c r="D6" s="5" cm="1">
        <f t="array" ref="D6">SUMPRODUCT(('Tabela de Jogos'!$C$4:$C$13=B6)*('Tabela de Jogos'!$D$4:$D$13&gt;'Tabela de Jogos'!$F$4:$F$13))+SUMPRODUCT(('Tabela de Jogos'!$G$4:$G$13=B6)*('Tabela de Jogos'!$F$4:$F$13&gt;'Tabela de Jogos'!$D$4:$D$13))</f>
        <v>0</v>
      </c>
      <c r="E6" s="5" cm="1">
        <f t="array" ref="E6">SUMPRODUCT(('Tabela de Jogos'!$C$4:$C$13=B6)*('Tabela de Jogos'!$D$4:$D$13&lt;'Tabela de Jogos'!$F$4:$F$13))+SUMPRODUCT(('Tabela de Jogos'!$G$4:$G$13=B6)*('Tabela de Jogos'!$F$4:$F$13&lt;'Tabela de Jogos'!$D$4:$D$13))</f>
        <v>3</v>
      </c>
      <c r="F6" s="5">
        <f>SUMIF('Tabela de Jogos'!$C$4:$C$13,B6,'Tabela de Jogos'!$D$4:$D$13) + SUMIF('Tabela de Jogos'!$G$4:$G$13,B6,'Tabela de Jogos'!$F$4:$F$13)</f>
        <v>1</v>
      </c>
      <c r="G6" s="5" cm="1">
        <f t="array" ref="G6">SUMPRODUCT(('Tabela de Jogos'!$C$4:$C$13=B6)*('Tabela de Jogos'!$D$4:$D$13&lt;&gt;"")*'Tabela de Jogos'!$D$4:$D$13)+SUMPRODUCT(('Tabela de Jogos'!$G$4:$G$13=B6)*('Tabela de Jogos'!$F$4:$F$13&lt;&gt;"")*'Tabela de Jogos'!$F$4:$F$13)</f>
        <v>1</v>
      </c>
      <c r="H6" s="5" cm="1">
        <f t="array" ref="H6">SUMPRODUCT(('Tabela de Jogos'!$C$4:$C$13=B6)*('Tabela de Jogos'!$D$4:$D$13&lt;&gt;"")*'Tabela de Jogos'!$F$4:$F$13)+SUMPRODUCT(('Tabela de Jogos'!$G$4:$G$13=B6)*('Tabela de Jogos'!$F$4:$F$13&lt;&gt;"")*'Tabela de Jogos'!$D$4:$D$13)</f>
        <v>8</v>
      </c>
      <c r="I6" s="5">
        <f t="shared" si="0"/>
        <v>-7</v>
      </c>
    </row>
    <row r="9" spans="1:13" x14ac:dyDescent="0.3">
      <c r="A9" s="4" t="s">
        <v>22</v>
      </c>
      <c r="B9" s="4" t="s">
        <v>23</v>
      </c>
      <c r="C9" s="4" t="s">
        <v>24</v>
      </c>
      <c r="D9" s="4" t="s">
        <v>25</v>
      </c>
      <c r="E9" s="4" t="s">
        <v>26</v>
      </c>
      <c r="F9" s="4" t="s">
        <v>27</v>
      </c>
      <c r="G9" s="4" t="s">
        <v>28</v>
      </c>
      <c r="H9" s="4" t="s">
        <v>29</v>
      </c>
      <c r="I9" s="4" t="s">
        <v>30</v>
      </c>
      <c r="M9" s="8"/>
    </row>
    <row r="10" spans="1:13" x14ac:dyDescent="0.3">
      <c r="A10" s="5">
        <v>1</v>
      </c>
      <c r="B10" s="7" t="str" cm="1">
        <f t="array" ref="B10:I14">_xlfn.SORTBY(B2:I6,F2:F6,-1)</f>
        <v>Girafa</v>
      </c>
      <c r="C10" s="7">
        <v>3</v>
      </c>
      <c r="D10" s="7">
        <v>2</v>
      </c>
      <c r="E10" s="7">
        <v>1</v>
      </c>
      <c r="F10" s="7">
        <v>6</v>
      </c>
      <c r="G10" s="7">
        <v>6</v>
      </c>
      <c r="H10" s="7">
        <v>3</v>
      </c>
      <c r="I10" s="7">
        <v>3</v>
      </c>
    </row>
    <row r="11" spans="1:13" x14ac:dyDescent="0.3">
      <c r="A11" s="5">
        <v>2</v>
      </c>
      <c r="B11" s="7" t="str">
        <v>Tigre</v>
      </c>
      <c r="C11" s="7">
        <v>2</v>
      </c>
      <c r="D11" s="7">
        <v>2</v>
      </c>
      <c r="E11" s="7">
        <v>0</v>
      </c>
      <c r="F11" s="7">
        <v>5</v>
      </c>
      <c r="G11" s="7">
        <v>5</v>
      </c>
      <c r="H11" s="7">
        <v>1</v>
      </c>
      <c r="I11" s="7">
        <v>4</v>
      </c>
    </row>
    <row r="12" spans="1:13" x14ac:dyDescent="0.3">
      <c r="A12" s="5">
        <v>3</v>
      </c>
      <c r="B12" s="7" t="str">
        <v>Dálmata</v>
      </c>
      <c r="C12" s="7">
        <v>2</v>
      </c>
      <c r="D12" s="7">
        <v>1</v>
      </c>
      <c r="E12" s="7">
        <v>1</v>
      </c>
      <c r="F12" s="7">
        <v>4</v>
      </c>
      <c r="G12" s="7">
        <v>4</v>
      </c>
      <c r="H12" s="7">
        <v>2</v>
      </c>
      <c r="I12" s="7">
        <v>2</v>
      </c>
    </row>
    <row r="13" spans="1:13" x14ac:dyDescent="0.3">
      <c r="A13" s="5">
        <v>4</v>
      </c>
      <c r="B13" s="7" t="str">
        <v>Onça</v>
      </c>
      <c r="C13" s="7">
        <v>2</v>
      </c>
      <c r="D13" s="7">
        <v>1</v>
      </c>
      <c r="E13" s="7">
        <v>1</v>
      </c>
      <c r="F13" s="7">
        <v>2</v>
      </c>
      <c r="G13" s="7">
        <v>2</v>
      </c>
      <c r="H13" s="7">
        <v>4</v>
      </c>
      <c r="I13" s="7">
        <v>-2</v>
      </c>
    </row>
    <row r="14" spans="1:13" x14ac:dyDescent="0.3">
      <c r="A14" s="5">
        <v>5</v>
      </c>
      <c r="B14" s="7" t="str">
        <v>Zebra</v>
      </c>
      <c r="C14" s="7">
        <v>3</v>
      </c>
      <c r="D14" s="7">
        <v>0</v>
      </c>
      <c r="E14" s="7">
        <v>3</v>
      </c>
      <c r="F14" s="7">
        <v>1</v>
      </c>
      <c r="G14" s="7">
        <v>1</v>
      </c>
      <c r="H14" s="7">
        <v>8</v>
      </c>
      <c r="I14" s="7">
        <v>-7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Tabela de Jogos</vt:lpstr>
      <vt:lpstr>Time</vt:lpstr>
      <vt:lpstr>Classificação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Julia Barros Lourenço</cp:lastModifiedBy>
  <cp:revision/>
  <dcterms:created xsi:type="dcterms:W3CDTF">2026-08-29T02:16:22Z</dcterms:created>
  <dcterms:modified xsi:type="dcterms:W3CDTF">2026-09-03T20:42:02Z</dcterms:modified>
  <cp:category/>
  <cp:contentStatus/>
</cp:coreProperties>
</file>