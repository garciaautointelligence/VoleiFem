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143" documentId="8_{22D47F29-216A-474A-81B3-552C820083B4}" xr6:coauthVersionLast="47" xr6:coauthVersionMax="47" xr10:uidLastSave="{B81C87A7-5C75-6446-B183-21C9322E59B3}"/>
  <bookViews>
    <workbookView xWindow="0" yWindow="0" windowWidth="0" windowHeight="0" firstSheet="1" xr2:uid="{00000000-000D-0000-FFFF-FFFF00000000}"/>
  </bookViews>
  <sheets>
    <sheet name="Tabela de Jogos" sheetId="1" r:id="rId1"/>
    <sheet name="Classificação" sheetId="2" r:id="rId2"/>
  </sheets>
  <definedNames>
    <definedName name="_xlnm._FilterDatabase" localSheetId="0" hidden="1">'Tabela de Jogos'!$A$3:$G$13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C5" i="2"/>
  <c r="D5" i="2" a="1"/>
  <c r="E5" i="2" a="1"/>
  <c r="G5" i="2" a="1"/>
  <c r="H5" i="2" a="1"/>
  <c r="I5" i="2"/>
  <c r="C4" i="2"/>
  <c r="D4" i="2" a="1"/>
  <c r="E4" i="2" a="1"/>
  <c r="G4" i="2" a="1"/>
  <c r="H4" i="2" a="1"/>
  <c r="I4" i="2"/>
  <c r="C2" i="2"/>
  <c r="D2" i="2" a="1"/>
  <c r="E2" i="2" a="1"/>
  <c r="G2" i="2" a="1"/>
  <c r="H2" i="2" a="1"/>
  <c r="I2" i="2"/>
  <c r="C3" i="2"/>
  <c r="D3" i="2" a="1"/>
  <c r="E3" i="2" a="1"/>
  <c r="G3" i="2" a="1"/>
  <c r="H3" i="2" a="1"/>
  <c r="I3" i="2"/>
  <c r="C6" i="2"/>
  <c r="D6" i="2" a="1"/>
  <c r="E6" i="2" a="1"/>
  <c r="G6" i="2" a="1"/>
  <c r="H6" i="2" a="1"/>
  <c r="I6" i="2"/>
  <c r="B10" i="2" a="1"/>
  <c r="D2" i="1" a="1"/>
  <c r="B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<sst xmlns="http://schemas.openxmlformats.org/spreadsheetml/2006/main" count="85" uniqueCount="36">
  <si>
    <t>Torneio Interno – Planilha de Jogos</t>
  </si>
  <si>
    <t>Data</t>
  </si>
  <si>
    <t>HOR</t>
  </si>
  <si>
    <t>Time A</t>
  </si>
  <si>
    <t>Placar A</t>
  </si>
  <si>
    <t>x</t>
  </si>
  <si>
    <t>Placar B</t>
  </si>
  <si>
    <t>Time B</t>
  </si>
  <si>
    <t>20h30</t>
  </si>
  <si>
    <t>Zebra</t>
  </si>
  <si>
    <t>Dálmata</t>
  </si>
  <si>
    <t>21h30</t>
  </si>
  <si>
    <t>Girafa</t>
  </si>
  <si>
    <t>Onça</t>
  </si>
  <si>
    <t>Tigre</t>
  </si>
  <si>
    <t>SEMIFINAIS</t>
  </si>
  <si>
    <t>DISPUTA 3º LUGAR</t>
  </si>
  <si>
    <t>Perdedor Semi 1</t>
  </si>
  <si>
    <t>Perdedor Semi 2</t>
  </si>
  <si>
    <t>FINAL</t>
  </si>
  <si>
    <t>Vencedor Semi 1</t>
  </si>
  <si>
    <t>Vencedor Semi 2</t>
  </si>
  <si>
    <t>Pos.</t>
  </si>
  <si>
    <t>Time</t>
  </si>
  <si>
    <t>Jogos</t>
  </si>
  <si>
    <t>Vitória</t>
  </si>
  <si>
    <t>Derrota</t>
  </si>
  <si>
    <t>Pontos</t>
  </si>
  <si>
    <t>Sets Pró</t>
  </si>
  <si>
    <t>Sets Contra</t>
  </si>
  <si>
    <t>Saldo</t>
  </si>
  <si>
    <t>1° Lugar</t>
  </si>
  <si>
    <t>2° Lugar</t>
  </si>
  <si>
    <t>4° Lugar</t>
  </si>
  <si>
    <t>3°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</si>
</sst>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9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b/>
      <sz val="13"/>
      <color rgb="FFFFFFFF"/>
      <name val="Calibri"/>
    </font>
    <font>
      <sz val="11"/>
      <name val="Calibri"/>
    </font>
    <font>
      <b/>
      <sz val="12"/>
      <name val="Calibri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0" fillId="0" borderId="1" xfId="0" applyBorder="1"/>
    <xf numFmtId="0" fontId="8" fillId="0" borderId="0" xfId="0" applyFont="1"/>
    <xf numFmtId="0" fontId="0" fillId="0" borderId="1" xfId="0" applyFont="1" applyBorder="1"/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B1" workbookViewId="0">
      <pane ySplit="3" topLeftCell="B4" activePane="bottomLeft" state="frozen"/>
      <selection activeCell="B1" sqref="B1"/>
      <selection pane="bottomLeft" activeCell="G16" sqref="G16"/>
    </sheetView>
  </sheetViews>
  <sheetFormatPr defaultRowHeight="15" x14ac:dyDescent="0.2"/>
  <cols>
    <col min="1" max="1" width="33.2265625" style="12" bestFit="1" customWidth="1"/>
    <col min="2" max="2" width="11.97265625" customWidth="1"/>
    <col min="3" max="3" width="23" customWidth="1"/>
    <col min="4" max="4" width="11.97265625" customWidth="1"/>
    <col min="5" max="5" width="7.93359375" customWidth="1"/>
    <col min="6" max="6" width="11.97265625" customWidth="1"/>
    <col min="7" max="7" width="23" customWidth="1"/>
  </cols>
  <sheetData>
    <row r="1" spans="1:7" ht="32.1" customHeight="1" x14ac:dyDescent="0.2">
      <c r="A1" s="18" t="s">
        <v>0</v>
      </c>
      <c r="B1" s="19"/>
      <c r="C1" s="19"/>
      <c r="D1" s="19"/>
      <c r="E1" s="19"/>
      <c r="F1" s="19"/>
      <c r="G1" s="19"/>
    </row>
    <row r="2" spans="1:7" x14ac:dyDescent="0.2">
      <c r="B2" s="6"/>
      <c r="C2" s="6"/>
      <c r="D2" s="6" t="e" cm="1">
        <f t="array" aca="1" ref="D2" ca="1">SUMPRODUCT(('Tabela de Jogos'!$C$4:$C$13=B2)*('Tabela de Jogos'!$D$4:$D$13&gt;'Tabela de Jogos'!$F$4:$F$13))+SUMPRODUCT('Tabela de Jogos'!$G$4:$G$13='Tabela de Jogos'!A4B2)</f>
        <v>#NAME?</v>
      </c>
      <c r="E2" s="6"/>
      <c r="F2" s="6"/>
      <c r="G2" s="6"/>
    </row>
    <row r="3" spans="1:7" ht="27.95" customHeight="1" x14ac:dyDescent="0.2">
      <c r="A3" s="1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7.95" customHeight="1" x14ac:dyDescent="0.2">
      <c r="A4" s="14">
        <v>46248</v>
      </c>
      <c r="B4" s="2" t="s">
        <v>8</v>
      </c>
      <c r="C4" s="2" t="s">
        <v>9</v>
      </c>
      <c r="D4" s="3">
        <v>0</v>
      </c>
      <c r="E4" s="2" t="s">
        <v>5</v>
      </c>
      <c r="F4" s="3">
        <v>3</v>
      </c>
      <c r="G4" s="2" t="s">
        <v>10</v>
      </c>
    </row>
    <row r="5" spans="1:7" ht="27.95" customHeight="1" x14ac:dyDescent="0.2">
      <c r="A5" s="14">
        <v>46248</v>
      </c>
      <c r="B5" s="2" t="s">
        <v>11</v>
      </c>
      <c r="C5" s="2" t="s">
        <v>12</v>
      </c>
      <c r="D5" s="3">
        <v>1</v>
      </c>
      <c r="E5" s="2" t="s">
        <v>5</v>
      </c>
      <c r="F5" s="3">
        <v>2</v>
      </c>
      <c r="G5" s="2" t="s">
        <v>13</v>
      </c>
    </row>
    <row r="6" spans="1:7" ht="27.95" customHeight="1" x14ac:dyDescent="0.2">
      <c r="A6" s="14">
        <v>46255</v>
      </c>
      <c r="B6" s="2" t="s">
        <v>8</v>
      </c>
      <c r="C6" s="2" t="s">
        <v>9</v>
      </c>
      <c r="D6" s="3">
        <v>1</v>
      </c>
      <c r="E6" s="2" t="s">
        <v>5</v>
      </c>
      <c r="F6" s="3">
        <v>2</v>
      </c>
      <c r="G6" s="2" t="s">
        <v>14</v>
      </c>
    </row>
    <row r="7" spans="1:7" ht="27.95" customHeight="1" x14ac:dyDescent="0.2">
      <c r="A7" s="14">
        <v>46255</v>
      </c>
      <c r="B7" s="2" t="s">
        <v>11</v>
      </c>
      <c r="C7" s="2" t="s">
        <v>10</v>
      </c>
      <c r="D7" s="3">
        <v>1</v>
      </c>
      <c r="E7" s="2" t="s">
        <v>5</v>
      </c>
      <c r="F7" s="3">
        <v>2</v>
      </c>
      <c r="G7" s="2" t="s">
        <v>12</v>
      </c>
    </row>
    <row r="8" spans="1:7" ht="27.95" customHeight="1" x14ac:dyDescent="0.2">
      <c r="A8" s="14">
        <v>46262</v>
      </c>
      <c r="B8" s="2" t="s">
        <v>8</v>
      </c>
      <c r="C8" s="2" t="s">
        <v>13</v>
      </c>
      <c r="D8" s="3">
        <v>0</v>
      </c>
      <c r="E8" s="2" t="s">
        <v>5</v>
      </c>
      <c r="F8" s="3">
        <v>3</v>
      </c>
      <c r="G8" s="2" t="s">
        <v>14</v>
      </c>
    </row>
    <row r="9" spans="1:7" ht="27.95" customHeight="1" x14ac:dyDescent="0.2">
      <c r="A9" s="14">
        <v>46262</v>
      </c>
      <c r="B9" s="2" t="s">
        <v>11</v>
      </c>
      <c r="C9" s="2" t="s">
        <v>9</v>
      </c>
      <c r="D9" s="3">
        <v>0</v>
      </c>
      <c r="E9" s="2" t="s">
        <v>5</v>
      </c>
      <c r="F9" s="3">
        <v>3</v>
      </c>
      <c r="G9" s="2" t="s">
        <v>12</v>
      </c>
    </row>
    <row r="10" spans="1:7" ht="27.95" customHeight="1" x14ac:dyDescent="0.2">
      <c r="A10" s="14">
        <v>46276</v>
      </c>
      <c r="B10" s="2" t="s">
        <v>8</v>
      </c>
      <c r="C10" s="2" t="s">
        <v>13</v>
      </c>
      <c r="D10" s="3">
        <v>1</v>
      </c>
      <c r="E10" s="2" t="s">
        <v>5</v>
      </c>
      <c r="F10" s="3">
        <v>2</v>
      </c>
      <c r="G10" s="2" t="s">
        <v>10</v>
      </c>
    </row>
    <row r="11" spans="1:7" ht="27.95" customHeight="1" x14ac:dyDescent="0.2">
      <c r="A11" s="14">
        <v>46276</v>
      </c>
      <c r="B11" s="2" t="s">
        <v>11</v>
      </c>
      <c r="C11" s="2" t="s">
        <v>12</v>
      </c>
      <c r="D11" s="3"/>
      <c r="E11" s="2" t="s">
        <v>5</v>
      </c>
      <c r="F11" s="3"/>
      <c r="G11" s="2" t="s">
        <v>14</v>
      </c>
    </row>
    <row r="12" spans="1:7" ht="27.95" customHeight="1" x14ac:dyDescent="0.2">
      <c r="A12" s="14">
        <v>46283</v>
      </c>
      <c r="B12" s="2" t="s">
        <v>8</v>
      </c>
      <c r="C12" s="2" t="s">
        <v>13</v>
      </c>
      <c r="D12" s="3"/>
      <c r="E12" s="2" t="s">
        <v>5</v>
      </c>
      <c r="F12" s="3"/>
      <c r="G12" s="2" t="s">
        <v>9</v>
      </c>
    </row>
    <row r="13" spans="1:7" ht="27.95" customHeight="1" x14ac:dyDescent="0.2">
      <c r="A13" s="14">
        <v>46283</v>
      </c>
      <c r="B13" s="2" t="s">
        <v>11</v>
      </c>
      <c r="C13" s="2" t="s">
        <v>10</v>
      </c>
      <c r="D13" s="3"/>
      <c r="E13" s="2" t="s">
        <v>5</v>
      </c>
      <c r="F13" s="3"/>
      <c r="G13" s="2" t="s">
        <v>14</v>
      </c>
    </row>
    <row r="14" spans="1:7" ht="27.95" customHeight="1" x14ac:dyDescent="0.2">
      <c r="A14" s="17" t="s">
        <v>15</v>
      </c>
      <c r="B14" s="16"/>
      <c r="C14" s="16"/>
      <c r="D14" s="16"/>
      <c r="E14" s="16"/>
      <c r="F14" s="16"/>
      <c r="G14" s="16"/>
    </row>
    <row r="15" spans="1:7" ht="27.95" customHeight="1" x14ac:dyDescent="0.2">
      <c r="A15" s="14">
        <v>46290</v>
      </c>
      <c r="B15" s="2" t="s">
        <v>8</v>
      </c>
      <c r="C15" s="2" t="s">
        <v>31</v>
      </c>
      <c r="D15" s="3"/>
      <c r="E15" s="2" t="s">
        <v>5</v>
      </c>
      <c r="F15" s="3"/>
      <c r="G15" s="2" t="s">
        <v>33</v>
      </c>
    </row>
    <row r="16" spans="1:7" ht="27.95" customHeight="1" x14ac:dyDescent="0.2">
      <c r="A16" s="14">
        <v>46290</v>
      </c>
      <c r="B16" s="2" t="s">
        <v>11</v>
      </c>
      <c r="C16" s="2" t="s">
        <v>32</v>
      </c>
      <c r="D16" s="3"/>
      <c r="E16" s="2" t="s">
        <v>5</v>
      </c>
      <c r="F16" s="3"/>
      <c r="G16" s="2" t="s">
        <v>34</v>
      </c>
    </row>
    <row r="17" spans="1:8" ht="27.95" customHeight="1" x14ac:dyDescent="0.2">
      <c r="A17" s="15" t="s">
        <v>16</v>
      </c>
      <c r="B17" s="16"/>
      <c r="C17" s="16"/>
      <c r="D17" s="16"/>
      <c r="E17" s="16"/>
      <c r="F17" s="16"/>
      <c r="G17" s="16"/>
      <c r="H17" s="6"/>
    </row>
    <row r="18" spans="1:8" ht="27.95" customHeight="1" x14ac:dyDescent="0.2">
      <c r="A18" s="14">
        <v>46297</v>
      </c>
      <c r="B18" s="2" t="s">
        <v>8</v>
      </c>
      <c r="C18" s="2" t="s">
        <v>17</v>
      </c>
      <c r="D18" s="3"/>
      <c r="E18" s="2" t="s">
        <v>5</v>
      </c>
      <c r="F18" s="3"/>
      <c r="G18" s="2" t="s">
        <v>18</v>
      </c>
      <c r="H18" s="6"/>
    </row>
    <row r="19" spans="1:8" ht="27.95" customHeight="1" x14ac:dyDescent="0.2">
      <c r="A19" s="14"/>
      <c r="B19" s="2"/>
      <c r="C19" s="2"/>
      <c r="D19" s="2"/>
      <c r="E19" s="2"/>
      <c r="F19" s="2"/>
      <c r="G19" s="2"/>
      <c r="H19" s="6"/>
    </row>
    <row r="20" spans="1:8" ht="27.95" customHeight="1" x14ac:dyDescent="0.2">
      <c r="A20" s="15" t="s">
        <v>19</v>
      </c>
      <c r="B20" s="16"/>
      <c r="C20" s="16"/>
      <c r="D20" s="16"/>
      <c r="E20" s="16"/>
      <c r="F20" s="16"/>
      <c r="G20" s="16"/>
      <c r="H20" s="6"/>
    </row>
    <row r="21" spans="1:8" ht="27.95" customHeight="1" x14ac:dyDescent="0.2">
      <c r="A21" s="14">
        <v>46297</v>
      </c>
      <c r="B21" s="2" t="s">
        <v>11</v>
      </c>
      <c r="C21" s="2" t="s">
        <v>20</v>
      </c>
      <c r="D21" s="3"/>
      <c r="E21" s="2" t="s">
        <v>5</v>
      </c>
      <c r="F21" s="3"/>
      <c r="G21" s="2" t="s">
        <v>21</v>
      </c>
      <c r="H21" s="6"/>
    </row>
    <row r="27" spans="1:8" x14ac:dyDescent="0.2">
      <c r="B27" s="6"/>
      <c r="C27" s="6"/>
      <c r="D27" s="6"/>
      <c r="E27" s="6"/>
      <c r="F27" s="6"/>
      <c r="G27" s="6"/>
      <c r="H27" s="6"/>
    </row>
    <row r="28" spans="1:8" x14ac:dyDescent="0.2">
      <c r="B28" s="6"/>
      <c r="C28" s="7"/>
      <c r="D28" s="7"/>
      <c r="E28" s="7"/>
      <c r="F28" s="7"/>
      <c r="G28" s="7"/>
      <c r="H28" s="6"/>
    </row>
    <row r="29" spans="1:8" x14ac:dyDescent="0.2">
      <c r="B29" s="6"/>
      <c r="C29" s="7"/>
      <c r="D29" s="7"/>
      <c r="E29" s="7"/>
      <c r="F29" s="7"/>
      <c r="G29" s="7"/>
      <c r="H29" s="6"/>
    </row>
    <row r="30" spans="1:8" x14ac:dyDescent="0.2">
      <c r="B30" s="6"/>
      <c r="C30" s="7"/>
      <c r="D30" s="8"/>
      <c r="E30" s="7"/>
      <c r="F30" s="7"/>
      <c r="G30" s="7"/>
      <c r="H30" s="6"/>
    </row>
    <row r="31" spans="1:8" x14ac:dyDescent="0.2">
      <c r="B31" s="6"/>
      <c r="C31" s="7"/>
      <c r="D31" s="8"/>
      <c r="E31" s="7"/>
      <c r="F31" s="7"/>
      <c r="G31" s="7"/>
      <c r="H31" s="6"/>
    </row>
    <row r="32" spans="1:8" x14ac:dyDescent="0.2">
      <c r="B32" s="6"/>
      <c r="C32" s="7"/>
      <c r="D32" s="8"/>
      <c r="E32" s="7"/>
      <c r="F32" s="7"/>
      <c r="G32" s="7"/>
      <c r="H32" s="6"/>
    </row>
    <row r="33" spans="2:8" x14ac:dyDescent="0.2">
      <c r="B33" s="6"/>
      <c r="C33" s="7"/>
      <c r="D33" s="8"/>
      <c r="E33" s="7"/>
      <c r="F33" s="7"/>
      <c r="G33" s="7"/>
      <c r="H33" s="6"/>
    </row>
    <row r="34" spans="2:8" x14ac:dyDescent="0.2">
      <c r="B34" s="6"/>
      <c r="C34" s="7"/>
      <c r="D34" s="8"/>
      <c r="E34" s="7"/>
      <c r="F34" s="7"/>
      <c r="G34" s="7"/>
      <c r="H34" s="6"/>
    </row>
    <row r="35" spans="2:8" x14ac:dyDescent="0.2">
      <c r="B35" s="6"/>
      <c r="C35" s="7"/>
      <c r="D35" s="7"/>
      <c r="E35" s="7"/>
      <c r="F35" s="7"/>
      <c r="G35" s="7"/>
      <c r="H35" s="6"/>
    </row>
    <row r="36" spans="2:8" x14ac:dyDescent="0.2">
      <c r="B36" s="6"/>
      <c r="C36" s="7"/>
      <c r="D36" s="7"/>
      <c r="E36" s="7"/>
      <c r="F36" s="7"/>
      <c r="G36" s="7"/>
      <c r="H36" s="6"/>
    </row>
    <row r="37" spans="2:8" x14ac:dyDescent="0.2">
      <c r="B37" s="6"/>
      <c r="C37" s="7"/>
      <c r="D37" s="7"/>
      <c r="E37" s="7"/>
      <c r="F37" s="7"/>
      <c r="G37" s="7"/>
      <c r="H37" s="6"/>
    </row>
    <row r="38" spans="2:8" x14ac:dyDescent="0.2">
      <c r="B38" s="6"/>
      <c r="C38" s="7"/>
      <c r="D38" s="7"/>
      <c r="E38" s="7"/>
      <c r="F38" s="7"/>
      <c r="G38" s="7"/>
      <c r="H38" s="6"/>
    </row>
    <row r="39" spans="2:8" x14ac:dyDescent="0.2">
      <c r="B39" s="6"/>
      <c r="C39" s="7"/>
      <c r="D39" s="7"/>
      <c r="E39" s="7"/>
      <c r="F39" s="7"/>
      <c r="G39" s="7"/>
      <c r="H39" s="6"/>
    </row>
    <row r="40" spans="2:8" x14ac:dyDescent="0.2">
      <c r="B40" s="6"/>
      <c r="C40" s="7"/>
      <c r="D40" s="7"/>
      <c r="E40" s="7"/>
      <c r="F40" s="7"/>
      <c r="G40" s="7"/>
      <c r="H40" s="6"/>
    </row>
    <row r="41" spans="2:8" x14ac:dyDescent="0.2">
      <c r="B41" s="6"/>
      <c r="C41" s="7"/>
      <c r="D41" s="7"/>
      <c r="E41" s="7"/>
      <c r="F41" s="7"/>
      <c r="G41" s="7"/>
      <c r="H41" s="6"/>
    </row>
    <row r="42" spans="2:8" x14ac:dyDescent="0.2">
      <c r="B42" s="6"/>
      <c r="C42" s="7"/>
      <c r="D42" s="7"/>
      <c r="E42" s="7"/>
      <c r="F42" s="7"/>
      <c r="G42" s="7"/>
      <c r="H42" s="6"/>
    </row>
    <row r="43" spans="2:8" x14ac:dyDescent="0.2">
      <c r="B43" s="6"/>
      <c r="C43" s="7"/>
      <c r="D43" s="7"/>
      <c r="E43" s="7"/>
      <c r="F43" s="7"/>
      <c r="G43" s="7"/>
      <c r="H43" s="6"/>
    </row>
    <row r="44" spans="2:8" x14ac:dyDescent="0.2">
      <c r="B44" s="6"/>
      <c r="C44" s="7"/>
      <c r="D44" s="7"/>
      <c r="E44" s="7"/>
      <c r="F44" s="7"/>
      <c r="G44" s="7"/>
      <c r="H44" s="6"/>
    </row>
    <row r="45" spans="2:8" x14ac:dyDescent="0.2">
      <c r="B45" s="6"/>
      <c r="C45" s="7"/>
      <c r="D45" s="7"/>
      <c r="E45" s="7"/>
      <c r="F45" s="7"/>
      <c r="G45" s="7"/>
      <c r="H45" s="6"/>
    </row>
    <row r="46" spans="2:8" x14ac:dyDescent="0.2">
      <c r="B46" s="6"/>
      <c r="C46" s="6"/>
      <c r="D46" s="6"/>
      <c r="E46" s="6"/>
      <c r="F46" s="6"/>
      <c r="G46" s="6"/>
      <c r="H46" s="6"/>
    </row>
  </sheetData>
  <autoFilter ref="A3:G13" xr:uid="{00000000-0009-0000-0000-000000000000}"/>
  <mergeCells count="4">
    <mergeCell ref="A20:G20"/>
    <mergeCell ref="A14:G14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opLeftCell="F1" workbookViewId="0">
      <pane ySplit="1" topLeftCell="F2" activePane="bottomLeft" state="frozen"/>
      <selection activeCell="F1" sqref="F1"/>
      <selection pane="bottomLeft" activeCell="B10" sqref="B10:B14"/>
    </sheetView>
  </sheetViews>
  <sheetFormatPr defaultRowHeight="15" x14ac:dyDescent="0.2"/>
  <cols>
    <col min="1" max="1" width="7.93359375" customWidth="1"/>
    <col min="2" max="2" width="18.0234375" customWidth="1"/>
    <col min="3" max="3" width="6.05078125" bestFit="1" customWidth="1"/>
    <col min="4" max="4" width="7.12890625" bestFit="1" customWidth="1"/>
    <col min="5" max="5" width="7.93359375" customWidth="1"/>
    <col min="6" max="7" width="11.97265625" customWidth="1"/>
    <col min="8" max="8" width="13.98828125" customWidth="1"/>
    <col min="9" max="9" width="9.953125" customWidth="1"/>
  </cols>
  <sheetData>
    <row r="1" spans="1:13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6"/>
      <c r="K1" s="6"/>
      <c r="L1" s="6"/>
      <c r="M1" s="6"/>
    </row>
    <row r="2" spans="1:13" x14ac:dyDescent="0.2">
      <c r="A2" s="5">
        <v>1</v>
      </c>
      <c r="B2" s="5" t="str" cm="1">
        <f t="array" ref="B2:B6">_xlfn.UNIQUE('Tabela de Jogos'!G4:G13)</f>
        <v>Dálmata</v>
      </c>
      <c r="C2" s="5">
        <f>COUNTIFS('Tabela de Jogos'!$C$4:$C$13,B2,'Tabela de Jogos'!$D$4:$D$13,"&lt;&gt;") + COUNTIFS('Tabela de Jogos'!$G$5:$G$14,B2,'Tabela de Jogos'!$F$4:$F$13,"&lt;&gt;")</f>
        <v>2</v>
      </c>
      <c r="D2" s="5" cm="1">
        <f t="array" ref="D2">SUMPRODUCT(('Tabela de Jogos'!$C$4:$C$13=B2)*('Tabela de Jogos'!$D$4:$D$13&gt;'Tabela de Jogos'!$F$4:$F$13))+SUMPRODUCT(('Tabela de Jogos'!$G$4:$G$13=B2)*('Tabela de Jogos'!$F$4:$F$13&gt;'Tabela de Jogos'!$D$4:$D$13))</f>
        <v>2</v>
      </c>
      <c r="E2" s="5" cm="1">
        <f t="array" ref="E2">SUMPRODUCT(('Tabela de Jogos'!$C$4:$C$13=B2)*('Tabela de Jogos'!$D$4:$D$13&lt;'Tabela de Jogos'!$F$4:$F$13))+SUMPRODUCT(('Tabela de Jogos'!$G$4:$G$13=B2)*('Tabela de Jogos'!$F$4:$F$13&lt;'Tabela de Jogos'!$D$4:$D$13))</f>
        <v>1</v>
      </c>
      <c r="F2" s="5">
        <f>SUMIF('Tabela de Jogos'!$C$4:$C$13,B2,'Tabela de Jogos'!$D$4:$D$13) + SUMIF('Tabela de Jogos'!$G$4:$G$13,B2,'Tabela de Jogos'!$F$4:$F$13)</f>
        <v>6</v>
      </c>
      <c r="G2" s="5" cm="1">
        <f t="array" ref="G2">SUMPRODUCT(('Tabela de Jogos'!$C$4:$C$13=B2)*('Tabela de Jogos'!$D$4:$D$13&lt;&gt;"")*'Tabela de Jogos'!$D$4:$D$13)+SUMPRODUCT(('Tabela de Jogos'!$G$4:$G$13=B2)*('Tabela de Jogos'!$F$4:$F$13&lt;&gt;"")*'Tabela de Jogos'!$F$4:$F$13)</f>
        <v>6</v>
      </c>
      <c r="H2" s="5" cm="1">
        <f t="array" ref="H2">SUMPRODUCT(('Tabela de Jogos'!$C$4:$C$13=B2)*('Tabela de Jogos'!$D$4:$D$13&lt;&gt;"")*'Tabela de Jogos'!$F$4:$F$13)+SUMPRODUCT(('Tabela de Jogos'!$G$4:$G$13=B2)*('Tabela de Jogos'!$F$4:$F$13&lt;&gt;"")*'Tabela de Jogos'!$D$4:$D$13)</f>
        <v>3</v>
      </c>
      <c r="I2" s="5">
        <f>G2-H2</f>
        <v>3</v>
      </c>
      <c r="J2" s="6"/>
      <c r="K2" s="6"/>
      <c r="L2" s="6"/>
      <c r="M2" s="6"/>
    </row>
    <row r="3" spans="1:13" x14ac:dyDescent="0.2">
      <c r="A3" s="5">
        <v>2</v>
      </c>
      <c r="B3" s="5" t="str">
        <v>Onça</v>
      </c>
      <c r="C3" s="5">
        <f>COUNTIFS('Tabela de Jogos'!$C$4:$C$13,B3,'Tabela de Jogos'!$D$4:$D$13,"&lt;&gt;") + COUNTIFS('Tabela de Jogos'!$G$5:$G$14,B3,'Tabela de Jogos'!$F$4:$F$13,"&lt;&gt;")</f>
        <v>3</v>
      </c>
      <c r="D3" s="5" cm="1">
        <f t="array" ref="D3">SUMPRODUCT(('Tabela de Jogos'!$C$4:$C$13=B3)*('Tabela de Jogos'!$D$4:$D$13&gt;'Tabela de Jogos'!$F$4:$F$13))+SUMPRODUCT(('Tabela de Jogos'!$G$4:$G$13=B3)*('Tabela de Jogos'!$F$4:$F$13&gt;'Tabela de Jogos'!$D$4:$D$13))</f>
        <v>1</v>
      </c>
      <c r="E3" s="5" cm="1">
        <f t="array" ref="E3">SUMPRODUCT(('Tabela de Jogos'!$C$4:$C$13=B3)*('Tabela de Jogos'!$D$4:$D$13&lt;'Tabela de Jogos'!$F$4:$F$13))+SUMPRODUCT(('Tabela de Jogos'!$G$4:$G$13=B3)*('Tabela de Jogos'!$F$4:$F$13&lt;'Tabela de Jogos'!$D$4:$D$13))</f>
        <v>2</v>
      </c>
      <c r="F3" s="5">
        <f>SUMIF('Tabela de Jogos'!$C$4:$C$13,B3,'Tabela de Jogos'!$D$4:$D$13) + SUMIF('Tabela de Jogos'!$G$4:$G$13,B3,'Tabela de Jogos'!$F$4:$F$13)</f>
        <v>3</v>
      </c>
      <c r="G3" s="5" cm="1">
        <f t="array" ref="G3">SUMPRODUCT(('Tabela de Jogos'!$C$4:$C$13=B3)*('Tabela de Jogos'!$D$4:$D$13&lt;&gt;"")*'Tabela de Jogos'!$D$4:$D$13)+SUMPRODUCT(('Tabela de Jogos'!$G$4:$G$13=B3)*('Tabela de Jogos'!$F$4:$F$13&lt;&gt;"")*'Tabela de Jogos'!$F$4:$F$13)</f>
        <v>3</v>
      </c>
      <c r="H3" s="5" cm="1">
        <f t="array" ref="H3">SUMPRODUCT(('Tabela de Jogos'!$C$4:$C$13=B3)*('Tabela de Jogos'!$D$4:$D$13&lt;&gt;"")*'Tabela de Jogos'!$F$4:$F$13)+SUMPRODUCT(('Tabela de Jogos'!$G$4:$G$13=B3)*('Tabela de Jogos'!$F$4:$F$13&lt;&gt;"")*'Tabela de Jogos'!$D$4:$D$13)</f>
        <v>6</v>
      </c>
      <c r="I3" s="5">
        <f t="shared" ref="I3:I6" si="0">G3-H3</f>
        <v>-3</v>
      </c>
      <c r="J3" s="6"/>
      <c r="K3" s="6"/>
      <c r="L3" s="6"/>
      <c r="M3" s="6"/>
    </row>
    <row r="4" spans="1:13" x14ac:dyDescent="0.2">
      <c r="A4" s="5">
        <v>3</v>
      </c>
      <c r="B4" s="5" t="str">
        <v>Tigre</v>
      </c>
      <c r="C4" s="5">
        <f>COUNTIFS('Tabela de Jogos'!$C$4:$C$13,B4,'Tabela de Jogos'!$D$4:$D$13,"&lt;&gt;") + COUNTIFS('Tabela de Jogos'!$G$5:$G$14,B4,'Tabela de Jogos'!$F$4:$F$13,"&lt;&gt;")</f>
        <v>3</v>
      </c>
      <c r="D4" s="5" cm="1">
        <f t="array" ref="D4">SUMPRODUCT(('Tabela de Jogos'!$C$4:$C$13=B4)*('Tabela de Jogos'!$D$4:$D$13&gt;'Tabela de Jogos'!$F$4:$F$13))+SUMPRODUCT(('Tabela de Jogos'!$G$4:$G$13=B4)*('Tabela de Jogos'!$F$4:$F$13&gt;'Tabela de Jogos'!$D$4:$D$13))</f>
        <v>2</v>
      </c>
      <c r="E4" s="5" cm="1">
        <f t="array" ref="E4">SUMPRODUCT(('Tabela de Jogos'!$C$4:$C$13=B4)*('Tabela de Jogos'!$D$4:$D$13&lt;'Tabela de Jogos'!$F$4:$F$13))+SUMPRODUCT(('Tabela de Jogos'!$G$4:$G$13=B4)*('Tabela de Jogos'!$F$4:$F$13&lt;'Tabela de Jogos'!$D$4:$D$13))</f>
        <v>0</v>
      </c>
      <c r="F4" s="5">
        <f>SUMIF('Tabela de Jogos'!$C$4:$C$13,B4,'Tabela de Jogos'!$D$4:$D$13) + SUMIF('Tabela de Jogos'!$G$4:$G$13,B4,'Tabela de Jogos'!$F$4:$F$13)</f>
        <v>5</v>
      </c>
      <c r="G4" s="5" cm="1">
        <f t="array" ref="G4">SUMPRODUCT(('Tabela de Jogos'!$C$4:$C$13=B4)*('Tabela de Jogos'!$D$4:$D$13&lt;&gt;"")*'Tabela de Jogos'!$D$4:$D$13)+SUMPRODUCT(('Tabela de Jogos'!$G$4:$G$13=B4)*('Tabela de Jogos'!$F$4:$F$13&lt;&gt;"")*'Tabela de Jogos'!$F$4:$F$13)</f>
        <v>5</v>
      </c>
      <c r="H4" s="5" cm="1">
        <f t="array" ref="H4">SUMPRODUCT(('Tabela de Jogos'!$C$4:$C$13=B4)*('Tabela de Jogos'!$D$4:$D$13&lt;&gt;"")*'Tabela de Jogos'!$F$4:$F$13)+SUMPRODUCT(('Tabela de Jogos'!$G$4:$G$13=B4)*('Tabela de Jogos'!$F$4:$F$13&lt;&gt;"")*'Tabela de Jogos'!$D$4:$D$13)</f>
        <v>1</v>
      </c>
      <c r="I4" s="5">
        <f t="shared" si="0"/>
        <v>4</v>
      </c>
      <c r="J4" s="6"/>
      <c r="K4" s="6"/>
      <c r="L4" s="6"/>
      <c r="M4" s="6"/>
    </row>
    <row r="5" spans="1:13" x14ac:dyDescent="0.2">
      <c r="A5" s="5">
        <v>4</v>
      </c>
      <c r="B5" s="5" t="str">
        <v>Girafa</v>
      </c>
      <c r="C5" s="5">
        <f>COUNTIFS('Tabela de Jogos'!$C$4:$C$13,B5,'Tabela de Jogos'!$D$4:$D$13,"&lt;&gt;") + COUNTIFS('Tabela de Jogos'!$G$5:$G$14,B5,'Tabela de Jogos'!$F$4:$F$13,"&lt;&gt;")</f>
        <v>3</v>
      </c>
      <c r="D5" s="5" cm="1">
        <f t="array" ref="D5">SUMPRODUCT(('Tabela de Jogos'!$C$4:$C$13=B5)*('Tabela de Jogos'!$D$4:$D$13&gt;'Tabela de Jogos'!$F$4:$F$13))+SUMPRODUCT(('Tabela de Jogos'!$G$4:$G$13=B5)*('Tabela de Jogos'!$F$4:$F$13&gt;'Tabela de Jogos'!$D$4:$D$13))</f>
        <v>2</v>
      </c>
      <c r="E5" s="5" cm="1">
        <f t="array" ref="E5">SUMPRODUCT(('Tabela de Jogos'!$C$4:$C$13=B5)*('Tabela de Jogos'!$D$4:$D$13&lt;'Tabela de Jogos'!$F$4:$F$13))+SUMPRODUCT(('Tabela de Jogos'!$G$4:$G$13=B5)*('Tabela de Jogos'!$F$4:$F$13&lt;'Tabela de Jogos'!$D$4:$D$13))</f>
        <v>1</v>
      </c>
      <c r="F5" s="5">
        <f>SUMIF('Tabela de Jogos'!$C$4:$C$13,B5,'Tabela de Jogos'!$D$4:$D$13) + SUMIF('Tabela de Jogos'!$G$4:$G$13,B5,'Tabela de Jogos'!$F$4:$F$13)</f>
        <v>6</v>
      </c>
      <c r="G5" s="5" cm="1">
        <f t="array" ref="G5">SUMPRODUCT(('Tabela de Jogos'!$C$4:$C$13=B5)*('Tabela de Jogos'!$D$4:$D$13&lt;&gt;"")*'Tabela de Jogos'!$D$4:$D$13)+SUMPRODUCT(('Tabela de Jogos'!$G$4:$G$13=B5)*('Tabela de Jogos'!$F$4:$F$13&lt;&gt;"")*'Tabela de Jogos'!$F$4:$F$13)</f>
        <v>6</v>
      </c>
      <c r="H5" s="5" cm="1">
        <f t="array" ref="H5">SUMPRODUCT(('Tabela de Jogos'!$C$4:$C$13=B5)*('Tabela de Jogos'!$D$4:$D$13&lt;&gt;"")*'Tabela de Jogos'!$F$4:$F$13)+SUMPRODUCT(('Tabela de Jogos'!$G$4:$G$13=B5)*('Tabela de Jogos'!$F$4:$F$13&lt;&gt;"")*'Tabela de Jogos'!$D$4:$D$13)</f>
        <v>3</v>
      </c>
      <c r="I5" s="5">
        <f t="shared" si="0"/>
        <v>3</v>
      </c>
      <c r="J5" s="6"/>
      <c r="K5" s="6"/>
      <c r="L5" s="6"/>
      <c r="M5" s="6"/>
    </row>
    <row r="6" spans="1:13" x14ac:dyDescent="0.2">
      <c r="A6" s="5">
        <v>5</v>
      </c>
      <c r="B6" s="5" t="str">
        <v>Zebra</v>
      </c>
      <c r="C6" s="5">
        <f>COUNTIFS('Tabela de Jogos'!$C$4:$C$13,B6,'Tabela de Jogos'!$D$4:$D$13,"&lt;&gt;") + COUNTIFS('Tabela de Jogos'!$G$5:$G$14,B6,'Tabela de Jogos'!$F$4:$F$13,"&lt;&gt;")</f>
        <v>3</v>
      </c>
      <c r="D6" s="5" cm="1">
        <f t="array" ref="D6">SUMPRODUCT(('Tabela de Jogos'!$C$4:$C$13=B6)*('Tabela de Jogos'!$D$4:$D$13&gt;'Tabela de Jogos'!$F$4:$F$13))+SUMPRODUCT(('Tabela de Jogos'!$G$4:$G$13=B6)*('Tabela de Jogos'!$F$4:$F$13&gt;'Tabela de Jogos'!$D$4:$D$13))</f>
        <v>0</v>
      </c>
      <c r="E6" s="5" cm="1">
        <f t="array" ref="E6">SUMPRODUCT(('Tabela de Jogos'!$C$4:$C$13=B6)*('Tabela de Jogos'!$D$4:$D$13&lt;'Tabela de Jogos'!$F$4:$F$13))+SUMPRODUCT(('Tabela de Jogos'!$G$4:$G$13=B6)*('Tabela de Jogos'!$F$4:$F$13&lt;'Tabela de Jogos'!$D$4:$D$13))</f>
        <v>3</v>
      </c>
      <c r="F6" s="5">
        <f>SUMIF('Tabela de Jogos'!$C$4:$C$13,B6,'Tabela de Jogos'!$D$4:$D$13) + SUMIF('Tabela de Jogos'!$G$4:$G$13,B6,'Tabela de Jogos'!$F$4:$F$13)</f>
        <v>1</v>
      </c>
      <c r="G6" s="5" cm="1">
        <f t="array" ref="G6">SUMPRODUCT(('Tabela de Jogos'!$C$4:$C$13=B6)*('Tabela de Jogos'!$D$4:$D$13&lt;&gt;"")*'Tabela de Jogos'!$D$4:$D$13)+SUMPRODUCT(('Tabela de Jogos'!$G$4:$G$13=B6)*('Tabela de Jogos'!$F$4:$F$13&lt;&gt;"")*'Tabela de Jogos'!$F$4:$F$13)</f>
        <v>1</v>
      </c>
      <c r="H6" s="5" cm="1">
        <f t="array" ref="H6">SUMPRODUCT(('Tabela de Jogos'!$C$4:$C$13=B6)*('Tabela de Jogos'!$D$4:$D$13&lt;&gt;"")*'Tabela de Jogos'!$F$4:$F$13)+SUMPRODUCT(('Tabela de Jogos'!$G$4:$G$13=B6)*('Tabela de Jogos'!$F$4:$F$13&lt;&gt;"")*'Tabela de Jogos'!$D$4:$D$13)</f>
        <v>8</v>
      </c>
      <c r="I6" s="5">
        <f t="shared" si="0"/>
        <v>-7</v>
      </c>
      <c r="J6" s="6"/>
      <c r="K6" s="6"/>
      <c r="L6" s="6"/>
      <c r="M6" s="6"/>
    </row>
    <row r="7" spans="1:13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 t="s">
        <v>30</v>
      </c>
      <c r="J9" s="6"/>
      <c r="K9" s="6"/>
      <c r="L9" s="6"/>
      <c r="M9" s="10"/>
    </row>
    <row r="10" spans="1:13" x14ac:dyDescent="0.2">
      <c r="A10" s="5">
        <v>1</v>
      </c>
      <c r="B10" s="11" t="str" cm="1">
        <f t="array" ref="B10:I14">_xlfn.SORTBY(B2:I6,F2:F6,-1)</f>
        <v>Dálmata</v>
      </c>
      <c r="C10" s="9">
        <v>2</v>
      </c>
      <c r="D10" s="9">
        <v>2</v>
      </c>
      <c r="E10" s="9">
        <v>1</v>
      </c>
      <c r="F10" s="9">
        <v>6</v>
      </c>
      <c r="G10" s="9">
        <v>6</v>
      </c>
      <c r="H10" s="9">
        <v>3</v>
      </c>
      <c r="I10" s="9">
        <v>3</v>
      </c>
      <c r="J10" s="6"/>
      <c r="K10" s="6"/>
      <c r="L10" s="6"/>
      <c r="M10" s="6"/>
    </row>
    <row r="11" spans="1:13" x14ac:dyDescent="0.2">
      <c r="A11" s="5">
        <v>2</v>
      </c>
      <c r="B11" s="9" t="str">
        <v>Girafa</v>
      </c>
      <c r="C11" s="9">
        <v>3</v>
      </c>
      <c r="D11" s="9">
        <v>2</v>
      </c>
      <c r="E11" s="9">
        <v>1</v>
      </c>
      <c r="F11" s="9">
        <v>6</v>
      </c>
      <c r="G11" s="9">
        <v>6</v>
      </c>
      <c r="H11" s="9">
        <v>3</v>
      </c>
      <c r="I11" s="9">
        <v>3</v>
      </c>
      <c r="J11" s="6"/>
      <c r="K11" s="6"/>
      <c r="L11" s="6"/>
      <c r="M11" s="6"/>
    </row>
    <row r="12" spans="1:13" x14ac:dyDescent="0.2">
      <c r="A12" s="5">
        <v>3</v>
      </c>
      <c r="B12" s="9" t="str">
        <v>Tigre</v>
      </c>
      <c r="C12" s="9">
        <v>3</v>
      </c>
      <c r="D12" s="9">
        <v>2</v>
      </c>
      <c r="E12" s="9">
        <v>0</v>
      </c>
      <c r="F12" s="9">
        <v>5</v>
      </c>
      <c r="G12" s="9">
        <v>5</v>
      </c>
      <c r="H12" s="9">
        <v>1</v>
      </c>
      <c r="I12" s="9">
        <v>4</v>
      </c>
      <c r="J12" s="6"/>
      <c r="K12" s="6"/>
      <c r="L12" s="6"/>
      <c r="M12" s="6"/>
    </row>
    <row r="13" spans="1:13" x14ac:dyDescent="0.2">
      <c r="A13" s="5">
        <v>4</v>
      </c>
      <c r="B13" s="9" t="str">
        <v>Onça</v>
      </c>
      <c r="C13" s="9">
        <v>3</v>
      </c>
      <c r="D13" s="9">
        <v>1</v>
      </c>
      <c r="E13" s="9">
        <v>2</v>
      </c>
      <c r="F13" s="9">
        <v>3</v>
      </c>
      <c r="G13" s="9">
        <v>3</v>
      </c>
      <c r="H13" s="9">
        <v>6</v>
      </c>
      <c r="I13" s="9">
        <v>-3</v>
      </c>
      <c r="J13" s="6"/>
      <c r="K13" s="6"/>
      <c r="L13" s="6"/>
      <c r="M13" s="6"/>
    </row>
    <row r="14" spans="1:13" x14ac:dyDescent="0.2">
      <c r="A14" s="5">
        <v>5</v>
      </c>
      <c r="B14" s="9" t="str">
        <v>Zebra</v>
      </c>
      <c r="C14" s="9">
        <v>3</v>
      </c>
      <c r="D14" s="9">
        <v>0</v>
      </c>
      <c r="E14" s="9">
        <v>3</v>
      </c>
      <c r="F14" s="9">
        <v>1</v>
      </c>
      <c r="G14" s="9">
        <v>1</v>
      </c>
      <c r="H14" s="9">
        <v>8</v>
      </c>
      <c r="I14" s="9">
        <v>-7</v>
      </c>
      <c r="J14" s="6"/>
      <c r="K14" s="6"/>
      <c r="L14" s="6"/>
      <c r="M14" s="6"/>
    </row>
    <row r="15" spans="1:13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de Jogos</vt:lpstr>
      <vt:lpstr>Classificação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Aristeu garcia</cp:lastModifiedBy>
  <cp:revision/>
  <dcterms:created xsi:type="dcterms:W3CDTF">2026-08-29T02:16:22Z</dcterms:created>
  <dcterms:modified xsi:type="dcterms:W3CDTF">2026-09-03T15:49:37Z</dcterms:modified>
  <cp:category/>
  <cp:contentStatus/>
</cp:coreProperties>
</file>